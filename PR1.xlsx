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ishpatel/Documents/"/>
    </mc:Choice>
  </mc:AlternateContent>
  <xr:revisionPtr revIDLastSave="0" documentId="13_ncr:1_{4ADD6AE3-69AB-B34C-AAA4-3577A74FDB3E}" xr6:coauthVersionLast="47" xr6:coauthVersionMax="47" xr10:uidLastSave="{00000000-0000-0000-0000-000000000000}"/>
  <bookViews>
    <workbookView xWindow="940" yWindow="660" windowWidth="28040" windowHeight="17420" activeTab="2" xr2:uid="{3E7DDA69-D852-8543-A72F-5AF71A2088CD}"/>
  </bookViews>
  <sheets>
    <sheet name="Students" sheetId="1" r:id="rId1"/>
    <sheet name="Sales" sheetId="2" r:id="rId2"/>
    <sheet name="Employe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I2" i="3" a="1"/>
  <c r="I2" i="3" s="1"/>
  <c r="I2" i="1"/>
  <c r="K2" i="2"/>
  <c r="H2" i="2"/>
  <c r="H19" i="3"/>
  <c r="H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" i="1"/>
  <c r="O2" i="2"/>
  <c r="M2" i="2"/>
  <c r="J2" i="2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N7" i="3"/>
  <c r="L7" i="3"/>
  <c r="N3" i="3"/>
  <c r="N4" i="3"/>
  <c r="N5" i="3"/>
  <c r="N6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L3" i="3"/>
  <c r="L4" i="3"/>
  <c r="L5" i="3"/>
  <c r="L6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K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20" i="3"/>
  <c r="H21" i="3"/>
  <c r="G2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3" i="2"/>
  <c r="G2" i="2"/>
  <c r="K2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4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T2" i="3" a="1"/>
  <c r="R2" i="3" a="1"/>
  <c r="T2" i="3" l="1"/>
  <c r="R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<sst xmlns="http://schemas.openxmlformats.org/spreadsheetml/2006/main" count="170" uniqueCount="118">
  <si>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</si>
  <si>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</si>
  <si>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</si>
  <si>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</si>
  <si>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</si>
  <si>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</si>
  <si>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</si>
  <si>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</si>
  <si>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</si>
  <si>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</si>
  <si>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</si>
  <si>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</si>
  <si>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</si>
  <si>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</si>
  <si>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</si>
  <si>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</si>
  <si>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</si>
  <si>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</si>
  <si>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</si>
  <si>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</si>
  <si>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</si>
  <si>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</si>
  <si>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</si>
  <si>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</si>
  <si>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</si>
  <si>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</si>
  <si>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</si>
  <si>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IF With AND</t>
  </si>
  <si>
    <t xml:space="preserve"> </t>
  </si>
  <si>
    <t>COUNTIFS</t>
  </si>
  <si>
    <t>AVERAGEIFS</t>
  </si>
  <si>
    <t>FILTER</t>
  </si>
  <si>
    <t>DATE FUNC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</si>
  <si>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</si>
  <si>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</si>
  <si>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</si>
  <si>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</si>
  <si>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</si>
  <si>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</si>
  <si>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</si>
  <si>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</si>
  <si>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</si>
  <si>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</si>
  <si>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</si>
  <si>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</si>
  <si>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</si>
  <si>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</si>
  <si>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</si>
  <si>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</si>
  <si>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</si>
  <si>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</si>
  <si>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</si>
  <si>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</si>
  <si>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</si>
  <si>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</si>
  <si>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</si>
  <si>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</si>
  <si>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</si>
  <si>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</si>
  <si>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</si>
  <si>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</si>
  <si>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</si>
  <si>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</si>
  <si>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</si>
  <si>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</si>
  <si>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</si>
  <si>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</si>
  <si>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</si>
  <si>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 xml:space="preserve">IF </t>
  </si>
  <si>
    <t>SUMIFS</t>
  </si>
  <si>
    <t>VLOOKUP</t>
  </si>
  <si>
    <t>INDEX + MATCH</t>
  </si>
  <si>
    <t>PRODUCT</t>
  </si>
  <si>
    <t>XLOOKUP</t>
  </si>
  <si>
    <t>XMATCH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</si>
  <si>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</si>
  <si>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</si>
  <si>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</si>
  <si>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</si>
  <si>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</si>
  <si>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</si>
  <si>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</si>
  <si>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</si>
  <si>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</si>
  <si>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</si>
  <si>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</si>
  <si>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</si>
  <si>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</si>
  <si>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</si>
  <si>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</si>
  <si>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</si>
  <si>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</si>
  <si>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</si>
  <si>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</si>
  <si>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</si>
  <si>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</si>
  <si>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</si>
  <si>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</si>
  <si>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</si>
  <si>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</si>
  <si>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</si>
  <si>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</si>
  <si>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</si>
  <si>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DATE</t>
  </si>
  <si>
    <t>TEXT FUNC</t>
  </si>
  <si>
    <t xml:space="preserve">LEFT </t>
  </si>
  <si>
    <t>RIGHT</t>
  </si>
  <si>
    <t>UPPER CASE</t>
  </si>
  <si>
    <t>LOWER CASE</t>
  </si>
  <si>
    <t>OFFSET</t>
  </si>
  <si>
    <t>AMOUNT</t>
  </si>
  <si>
    <t>INDIRECT</t>
  </si>
  <si>
    <t>NAME</t>
  </si>
  <si>
    <t>ROWS AND COL</t>
  </si>
  <si>
    <t>MONITOR</t>
  </si>
  <si>
    <t>A4</t>
  </si>
  <si>
    <t>OUTPUT</t>
  </si>
  <si>
    <t>R2C2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</si>
</sst>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9A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4" fontId="3" fillId="10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0" fontId="0" fillId="12" borderId="0" xfId="0" applyFill="1"/>
    <xf numFmtId="0" fontId="1" fillId="13" borderId="0" xfId="0" applyFont="1" applyFill="1" applyAlignment="1">
      <alignment horizontal="center"/>
    </xf>
    <xf numFmtId="0" fontId="0" fillId="13" borderId="0" xfId="0" applyFill="1"/>
    <xf numFmtId="0" fontId="1" fillId="14" borderId="0" xfId="0" applyFont="1" applyFill="1" applyAlignment="1">
      <alignment horizontal="center"/>
    </xf>
    <xf numFmtId="0" fontId="0" fillId="14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7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0" fillId="15" borderId="0" xfId="0" applyFill="1"/>
    <xf numFmtId="0" fontId="3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colors>
    <mruColors>
      <color rgb="FFFF9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3FE69E-BE55-8844-A2EC-708F9C4DB3A4}" name="Table3" displayName="Table3" ref="A1:F21" totalsRowShown="0" headerRowDxfId="22" dataDxfId="21">
  <autoFilter ref="A1:F21" xr:uid="{BE3FE69E-BE55-8844-A2EC-708F9C4DB3A4}"/>
  <tableColumns count="6">
    <tableColumn id="1" xr3:uid="{7E09B314-F204-3243-9B64-3897169ABE8F}" name="Student ID" dataDxfId="20"/>
    <tableColumn id="2" xr3:uid="{BC11DB4E-B6CF-7647-9C5B-3A0238C3F78F}" name="Name" dataDxfId="19"/>
    <tableColumn id="3" xr3:uid="{07726CE3-5FE0-8E4C-B656-26A6B5F55555}" name="Math" dataDxfId="18"/>
    <tableColumn id="4" xr3:uid="{DA633120-F713-0A44-A834-5AF5CB090B67}" name="Science" dataDxfId="17"/>
    <tableColumn id="5" xr3:uid="{078581CD-973D-124D-823F-041CDBCC9F45}" name="English" dataDxfId="16"/>
    <tableColumn id="6" xr3:uid="{54EF0BD0-0EDF-6741-ADC3-BCFFD8F57077}" name="Enrollment Dat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5BD1F-6866-9643-ABC9-D9F5D85C67A1}" name="Table2" displayName="Table2" ref="A1:F21" totalsRowShown="0" headerRowDxfId="14" dataDxfId="13">
  <autoFilter ref="A1:F21" xr:uid="{0D85BD1F-6866-9643-ABC9-D9F5D85C67A1}"/>
  <tableColumns count="6">
    <tableColumn id="1" xr3:uid="{B17A1751-CC45-4B45-B0DB-8ACBA6F7E354}" name="Sales ID" dataDxfId="12"/>
    <tableColumn id="2" xr3:uid="{999CA97C-2EF0-2541-875A-E4E4B001120C}" name="Product" dataDxfId="11"/>
    <tableColumn id="3" xr3:uid="{B38D1F57-793F-334B-99DE-53B86A543EB9}" name="Region" dataDxfId="10"/>
    <tableColumn id="4" xr3:uid="{5CFD8207-B618-CC46-AD94-6E326BB853BD}" name="Salesperson" dataDxfId="9"/>
    <tableColumn id="5" xr3:uid="{15A4CFFE-3F43-A644-BC02-0886AD79581C}" name="Amount" dataDxfId="8"/>
    <tableColumn id="6" xr3:uid="{BB9E321E-0B28-E742-9D92-E5B232072C71}" name="Date" dataDxfId="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4455C-A8CB-4846-82E8-59C015F70AD2}" name="Table1" displayName="Table1" ref="A1:E21" totalsRowShown="0" headerRowDxfId="6" dataDxfId="5">
  <autoFilter ref="A1:E21" xr:uid="{DE94455C-A8CB-4846-82E8-59C015F70AD2}"/>
  <tableColumns count="5">
    <tableColumn id="1" xr3:uid="{093D3612-CFBB-0A49-9B38-0D114660F9F3}" name="Employee ID" dataDxfId="4"/>
    <tableColumn id="2" xr3:uid="{420CE487-4A91-1147-9B5F-1FA79DF54588}" name="Name" dataDxfId="3"/>
    <tableColumn id="3" xr3:uid="{238859D6-DAF6-DC44-B30B-28041B2C05A3}" name="Department" dataDxfId="2"/>
    <tableColumn id="4" xr3:uid="{E54BD4D4-4EB0-024F-B94F-BFA45AF75B3D}" name="Salary" dataDxfId="1"/>
    <tableColumn id="5" xr3:uid="{63533842-7266-624C-90DF-90FBAF01C18E}" name="Join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528A-86B5-7F49-A77D-AB702851922E}">
  <dimension ref="A1:L22"/>
  <sheetViews>
    <sheetView zoomScale="135" zoomScaleNormal="100" workbookViewId="0">
      <selection activeCell="L21" sqref="L21"/>
    </sheetView>
  </sheetViews>
  <sheetFormatPr baseColWidth="10" defaultRowHeight="16" x14ac:dyDescent="0.2"/>
  <cols>
    <col min="3" max="4" width="10.83203125" customWidth="1"/>
    <col min="6" max="6" width="15" customWidth="1"/>
    <col min="9" max="9" width="10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26</v>
      </c>
      <c r="H1" s="12" t="s">
        <v>27</v>
      </c>
      <c r="I1" s="6" t="s">
        <v>29</v>
      </c>
      <c r="J1" s="17" t="s">
        <v>30</v>
      </c>
      <c r="K1" s="11" t="s">
        <v>31</v>
      </c>
      <c r="L1" s="34" t="s">
        <v>32</v>
      </c>
    </row>
    <row r="2" spans="1:12" x14ac:dyDescent="0.2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15" t="str">
        <f>IF(AVERAGE(C2:E2)&gt;=85,"A", IF(AVERAGE(C2:E2)&gt;=70,"B", IF(AVERAGE(C2:E2)&gt;=50,"C","FAIL")))</f>
        <v>C</v>
      </c>
      <c r="H2" s="16" t="str">
        <f>IF(AND(D2&gt;70,E2&gt;70),"YES","NO")</f>
        <v>NO</v>
      </c>
      <c r="I2" s="6">
        <f>COUNTIFS(C2:C21,"&gt;90")</f>
        <v>6</v>
      </c>
      <c r="J2" s="17">
        <f>AVERAGEIFS(C2:C21,C2:C21,"&gt;90")</f>
        <v>96.333333333333329</v>
      </c>
      <c r="K2" s="11">
        <f>AVERAGE(C2:E2)</f>
        <v>61.666666666666664</v>
      </c>
      <c r="L2" s="34">
        <f ca="1">DATEDIF(F2,TODAY(),"Y")</f>
        <v>8</v>
      </c>
    </row>
    <row r="3" spans="1:12" x14ac:dyDescent="0.2">
      <c r="A3" s="2">
        <v>1002</v>
      </c>
      <c r="B3" s="2" t="s">
        <v>7</v>
      </c>
      <c r="C3" s="2">
        <v>78</v>
      </c>
      <c r="D3" s="2">
        <v>76</v>
      </c>
      <c r="E3" s="2">
        <v>70</v>
      </c>
      <c r="F3" s="3">
        <v>43281</v>
      </c>
      <c r="G3" s="15" t="str">
        <f>IF(AVERAGE(C3:E3)&gt;=85,"A", IF(AVERAGE(C3:E3)&gt;=G470,"B", IF(AVERAGE(C3:E3)&gt;=50,"C","FAIL")))</f>
        <v>B</v>
      </c>
      <c r="H3" s="16" t="str">
        <f t="shared" ref="H3:H21" si="0">IF(AND(D3&gt;70,E3&gt;70),"YES","NO")</f>
        <v>NO</v>
      </c>
      <c r="L3" s="34">
        <f t="shared" ref="L3:L21" ca="1" si="1">DATEDIF(F3,TODAY(),"Y")</f>
        <v>7</v>
      </c>
    </row>
    <row r="4" spans="1:12" x14ac:dyDescent="0.2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15" t="str">
        <f>IF(AVERAGE(C4:E4)&gt;=85,"A", IF(AVERAGE(C4:E4)&gt;=70,"B", IF(AVERAGE(C4:E4)&gt;=50,"C","FAIL")))</f>
        <v>C</v>
      </c>
      <c r="H4" s="16" t="str">
        <f t="shared" si="0"/>
        <v>NO</v>
      </c>
      <c r="L4" s="34">
        <f t="shared" ca="1" si="1"/>
        <v>7</v>
      </c>
    </row>
    <row r="5" spans="1:12" x14ac:dyDescent="0.2">
      <c r="A5" s="2">
        <v>1004</v>
      </c>
      <c r="B5" s="2" t="s">
        <v>9</v>
      </c>
      <c r="C5" s="2">
        <v>74</v>
      </c>
      <c r="D5" s="2">
        <v>55</v>
      </c>
      <c r="E5" s="2">
        <v>46</v>
      </c>
      <c r="F5" s="3">
        <v>43641</v>
      </c>
      <c r="G5" s="15" t="str">
        <f t="shared" ref="G5:G21" si="2">IF(AVERAGE(C5:E5)&gt;=85,"A", IF(AVERAGE(C5:E5)&gt;=70,"B", IF(AVERAGE(C5:E5)&gt;=50,"C","FAIL")))</f>
        <v>C</v>
      </c>
      <c r="H5" s="16" t="str">
        <f t="shared" si="0"/>
        <v>NO</v>
      </c>
      <c r="L5" s="34">
        <f t="shared" ca="1" si="1"/>
        <v>6</v>
      </c>
    </row>
    <row r="6" spans="1:12" x14ac:dyDescent="0.2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15" t="str">
        <f t="shared" si="2"/>
        <v>B</v>
      </c>
      <c r="H6" s="16" t="str">
        <f t="shared" si="0"/>
        <v>YES</v>
      </c>
      <c r="L6" s="34">
        <f t="shared" ca="1" si="1"/>
        <v>6</v>
      </c>
    </row>
    <row r="7" spans="1:12" x14ac:dyDescent="0.2">
      <c r="A7" s="2">
        <v>1006</v>
      </c>
      <c r="B7" s="2" t="s">
        <v>11</v>
      </c>
      <c r="C7" s="2">
        <v>80</v>
      </c>
      <c r="D7" s="2">
        <v>70</v>
      </c>
      <c r="E7" s="2">
        <v>65</v>
      </c>
      <c r="F7" s="3">
        <v>44001</v>
      </c>
      <c r="G7" s="15" t="str">
        <f t="shared" si="2"/>
        <v>B</v>
      </c>
      <c r="H7" s="16" t="str">
        <f t="shared" si="0"/>
        <v>NO</v>
      </c>
      <c r="L7" s="34">
        <f t="shared" ca="1" si="1"/>
        <v>5</v>
      </c>
    </row>
    <row r="8" spans="1:12" x14ac:dyDescent="0.2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15" t="str">
        <f t="shared" si="2"/>
        <v>C</v>
      </c>
      <c r="H8" s="16" t="str">
        <f t="shared" si="0"/>
        <v>NO</v>
      </c>
      <c r="L8" s="34">
        <f t="shared" ca="1" si="1"/>
        <v>5</v>
      </c>
    </row>
    <row r="9" spans="1:12" x14ac:dyDescent="0.2">
      <c r="A9" s="2">
        <v>1008</v>
      </c>
      <c r="B9" s="2" t="s">
        <v>13</v>
      </c>
      <c r="C9" s="2">
        <v>94</v>
      </c>
      <c r="D9" s="2">
        <v>67</v>
      </c>
      <c r="E9" s="2">
        <v>64</v>
      </c>
      <c r="F9" s="3">
        <v>44361</v>
      </c>
      <c r="G9" s="15" t="str">
        <f t="shared" si="2"/>
        <v>B</v>
      </c>
      <c r="H9" s="16" t="str">
        <f t="shared" si="0"/>
        <v>NO</v>
      </c>
      <c r="L9" s="34">
        <f t="shared" ca="1" si="1"/>
        <v>4</v>
      </c>
    </row>
    <row r="10" spans="1:12" x14ac:dyDescent="0.2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15" t="str">
        <f t="shared" si="2"/>
        <v>C</v>
      </c>
      <c r="H10" s="16" t="str">
        <f t="shared" si="0"/>
        <v>NO</v>
      </c>
      <c r="L10" s="34">
        <f t="shared" ca="1" si="1"/>
        <v>4</v>
      </c>
    </row>
    <row r="11" spans="1:12" x14ac:dyDescent="0.2">
      <c r="A11" s="2">
        <v>1010</v>
      </c>
      <c r="B11" s="2" t="s">
        <v>15</v>
      </c>
      <c r="C11" s="2">
        <v>98</v>
      </c>
      <c r="D11" s="2">
        <v>54</v>
      </c>
      <c r="E11" s="2">
        <v>58</v>
      </c>
      <c r="F11" s="3">
        <v>44721</v>
      </c>
      <c r="G11" s="15" t="str">
        <f t="shared" si="2"/>
        <v>B</v>
      </c>
      <c r="H11" s="16" t="str">
        <f t="shared" si="0"/>
        <v>NO</v>
      </c>
      <c r="L11" s="34">
        <f t="shared" ca="1" si="1"/>
        <v>3</v>
      </c>
    </row>
    <row r="12" spans="1:12" x14ac:dyDescent="0.2">
      <c r="A12" s="2">
        <v>1011</v>
      </c>
      <c r="B12" s="2" t="s">
        <v>16</v>
      </c>
      <c r="C12" s="2">
        <v>73</v>
      </c>
      <c r="D12" s="2">
        <v>79</v>
      </c>
      <c r="E12" s="2">
        <v>53</v>
      </c>
      <c r="F12" s="3">
        <v>44901</v>
      </c>
      <c r="G12" s="15" t="str">
        <f t="shared" si="2"/>
        <v>C</v>
      </c>
      <c r="H12" s="16" t="str">
        <f t="shared" si="0"/>
        <v>NO</v>
      </c>
      <c r="L12" s="34">
        <f t="shared" ca="1" si="1"/>
        <v>3</v>
      </c>
    </row>
    <row r="13" spans="1:12" x14ac:dyDescent="0.2">
      <c r="A13" s="2">
        <v>1012</v>
      </c>
      <c r="B13" s="2" t="s">
        <v>17</v>
      </c>
      <c r="C13" s="2">
        <v>85</v>
      </c>
      <c r="D13" s="2">
        <v>89</v>
      </c>
      <c r="E13" s="2">
        <v>79</v>
      </c>
      <c r="F13" s="3">
        <v>45081</v>
      </c>
      <c r="G13" s="15" t="str">
        <f t="shared" si="2"/>
        <v>B</v>
      </c>
      <c r="H13" s="16" t="str">
        <f t="shared" si="0"/>
        <v>YES</v>
      </c>
      <c r="L13" s="34">
        <f t="shared" ca="1" si="1"/>
        <v>2</v>
      </c>
    </row>
    <row r="14" spans="1:12" x14ac:dyDescent="0.2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15" t="str">
        <f t="shared" si="2"/>
        <v>A</v>
      </c>
      <c r="H14" s="16" t="str">
        <f t="shared" si="0"/>
        <v>YES</v>
      </c>
      <c r="L14" s="34">
        <f t="shared" ca="1" si="1"/>
        <v>2</v>
      </c>
    </row>
    <row r="15" spans="1:12" x14ac:dyDescent="0.2">
      <c r="A15" s="2">
        <v>1014</v>
      </c>
      <c r="B15" s="2" t="s">
        <v>19</v>
      </c>
      <c r="C15" s="2">
        <v>93</v>
      </c>
      <c r="D15" s="2">
        <v>40</v>
      </c>
      <c r="E15" s="2">
        <v>44</v>
      </c>
      <c r="F15" s="3">
        <v>45441</v>
      </c>
      <c r="G15" s="15" t="str">
        <f t="shared" si="2"/>
        <v>C</v>
      </c>
      <c r="H15" s="16" t="str">
        <f t="shared" si="0"/>
        <v>NO</v>
      </c>
      <c r="L15" s="34">
        <f t="shared" ca="1" si="1"/>
        <v>1</v>
      </c>
    </row>
    <row r="16" spans="1:12" x14ac:dyDescent="0.2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15" t="str">
        <f t="shared" si="2"/>
        <v>C</v>
      </c>
      <c r="H16" s="16" t="str">
        <f t="shared" si="0"/>
        <v>NO</v>
      </c>
      <c r="L16" s="34">
        <f t="shared" ca="1" si="1"/>
        <v>1</v>
      </c>
    </row>
    <row r="17" spans="1:12" x14ac:dyDescent="0.2">
      <c r="A17" s="2">
        <v>1016</v>
      </c>
      <c r="B17" s="2" t="s">
        <v>21</v>
      </c>
      <c r="C17" s="2">
        <v>98</v>
      </c>
      <c r="D17" s="2">
        <v>77</v>
      </c>
      <c r="E17" s="2">
        <v>60</v>
      </c>
      <c r="F17" s="3">
        <v>45801</v>
      </c>
      <c r="G17" s="15" t="str">
        <f t="shared" si="2"/>
        <v>B</v>
      </c>
      <c r="H17" s="16" t="str">
        <f t="shared" si="0"/>
        <v>NO</v>
      </c>
      <c r="L17" s="34">
        <f t="shared" ca="1" si="1"/>
        <v>0</v>
      </c>
    </row>
    <row r="18" spans="1:12" x14ac:dyDescent="0.2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15" t="str">
        <f t="shared" si="2"/>
        <v>C</v>
      </c>
      <c r="H18" s="16" t="str">
        <f t="shared" si="0"/>
        <v>NO</v>
      </c>
      <c r="L18" s="34">
        <f t="shared" ca="1" si="1"/>
        <v>0</v>
      </c>
    </row>
    <row r="19" spans="1:12" x14ac:dyDescent="0.2">
      <c r="A19" s="2">
        <v>1018</v>
      </c>
      <c r="B19" s="2" t="s">
        <v>23</v>
      </c>
      <c r="C19" s="2">
        <v>82</v>
      </c>
      <c r="D19" s="2">
        <v>48</v>
      </c>
      <c r="E19" s="2">
        <v>79</v>
      </c>
      <c r="F19" s="3">
        <v>46161</v>
      </c>
      <c r="G19" s="15" t="str">
        <f t="shared" si="2"/>
        <v>C</v>
      </c>
      <c r="H19" s="16" t="str">
        <f t="shared" si="0"/>
        <v>NO</v>
      </c>
      <c r="L19" s="34" t="e">
        <f ca="1">DATEDIF(F19,TODAY(),"Y")</f>
        <v>#NUM!</v>
      </c>
    </row>
    <row r="20" spans="1:12" x14ac:dyDescent="0.2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15" t="str">
        <f t="shared" si="2"/>
        <v>B</v>
      </c>
      <c r="H20" s="16" t="str">
        <f t="shared" si="0"/>
        <v>NO</v>
      </c>
      <c r="L20" s="34" t="e">
        <f t="shared" ca="1" si="1"/>
        <v>#NUM!</v>
      </c>
    </row>
    <row r="21" spans="1:12" x14ac:dyDescent="0.2">
      <c r="A21" s="2">
        <v>1020</v>
      </c>
      <c r="B21" s="2" t="s">
        <v>25</v>
      </c>
      <c r="C21" s="2">
        <v>83</v>
      </c>
      <c r="D21" s="2">
        <v>92</v>
      </c>
      <c r="E21" s="2">
        <v>55</v>
      </c>
      <c r="F21" s="3">
        <v>46521</v>
      </c>
      <c r="G21" s="15" t="str">
        <f t="shared" si="2"/>
        <v>B</v>
      </c>
      <c r="H21" s="16" t="str">
        <f t="shared" si="0"/>
        <v>NO</v>
      </c>
      <c r="L21" s="34" t="e">
        <f t="shared" ca="1" si="1"/>
        <v>#NUM!</v>
      </c>
    </row>
    <row r="22" spans="1:12" x14ac:dyDescent="0.2">
      <c r="C22" s="5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E715-DEA3-2844-9584-38CC41B75CF5}">
  <dimension ref="A1:O21"/>
  <sheetViews>
    <sheetView zoomScale="144" workbookViewId="0">
      <selection activeCell="D24" sqref="D24"/>
    </sheetView>
  </sheetViews>
  <sheetFormatPr baseColWidth="10" defaultRowHeight="16" x14ac:dyDescent="0.2"/>
  <cols>
    <col min="4" max="4" width="11.83203125" customWidth="1"/>
    <col min="6" max="6" width="12.33203125" bestFit="1" customWidth="1"/>
    <col min="11" max="11" width="14.6640625" customWidth="1"/>
  </cols>
  <sheetData>
    <row r="1" spans="1:15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0" t="s">
        <v>68</v>
      </c>
      <c r="H1" s="12" t="s">
        <v>69</v>
      </c>
      <c r="I1" s="9" t="s">
        <v>70</v>
      </c>
      <c r="J1" s="9" t="s">
        <v>34</v>
      </c>
      <c r="K1" s="13" t="s">
        <v>71</v>
      </c>
      <c r="L1" s="8" t="s">
        <v>73</v>
      </c>
      <c r="M1" s="8" t="s">
        <v>110</v>
      </c>
      <c r="N1" s="6" t="s">
        <v>74</v>
      </c>
      <c r="O1" s="6" t="s">
        <v>72</v>
      </c>
    </row>
    <row r="2" spans="1:15" x14ac:dyDescent="0.2">
      <c r="A2" s="2">
        <v>2001</v>
      </c>
      <c r="B2" s="2" t="s">
        <v>39</v>
      </c>
      <c r="C2" s="2" t="s">
        <v>40</v>
      </c>
      <c r="D2" s="2" t="s">
        <v>41</v>
      </c>
      <c r="E2" s="2">
        <v>7048</v>
      </c>
      <c r="F2" s="3">
        <v>44927</v>
      </c>
      <c r="G2" s="10">
        <f>IF(E2&gt;10000,E2*5,0)</f>
        <v>0</v>
      </c>
      <c r="H2" s="12">
        <f>SUMIFS(E2:E21,C2:C21,"WEST",B2:B21,"MONITOR")</f>
        <v>38161</v>
      </c>
      <c r="I2" s="9">
        <v>2002</v>
      </c>
      <c r="J2" s="9" t="str">
        <f>VLOOKUP(I2,A2:B21,2,FALSE)</f>
        <v>Printer</v>
      </c>
      <c r="K2" s="13">
        <f>INDEX(E2:E21,MATCH("PERSON 5",D2:D21,0))</f>
        <v>43388</v>
      </c>
      <c r="L2" s="8" t="s">
        <v>50</v>
      </c>
      <c r="M2" s="8">
        <f>_xlfn.XLOOKUP(L2,D2:D21,E2:E21)</f>
        <v>43388</v>
      </c>
      <c r="N2" s="7" t="s">
        <v>114</v>
      </c>
      <c r="O2" s="7">
        <f>_xlfn.XMATCH(N2,B2:B21)</f>
        <v>12</v>
      </c>
    </row>
    <row r="3" spans="1:15" x14ac:dyDescent="0.2">
      <c r="A3" s="2">
        <v>2002</v>
      </c>
      <c r="B3" s="2" t="s">
        <v>42</v>
      </c>
      <c r="C3" s="2" t="s">
        <v>43</v>
      </c>
      <c r="D3" s="2" t="s">
        <v>44</v>
      </c>
      <c r="E3" s="2">
        <v>17428</v>
      </c>
      <c r="F3" s="3">
        <v>44942</v>
      </c>
      <c r="G3" s="10">
        <f t="shared" ref="G3:G21" si="0">IF(E3&gt;10000,E3*5,0)</f>
        <v>87140</v>
      </c>
    </row>
    <row r="4" spans="1:15" x14ac:dyDescent="0.2">
      <c r="A4" s="2">
        <v>2003</v>
      </c>
      <c r="B4" s="2" t="s">
        <v>45</v>
      </c>
      <c r="C4" s="2" t="s">
        <v>40</v>
      </c>
      <c r="D4" s="2" t="s">
        <v>46</v>
      </c>
      <c r="E4" s="2">
        <v>23672</v>
      </c>
      <c r="F4" s="3">
        <v>44957</v>
      </c>
      <c r="G4" s="10">
        <f t="shared" si="0"/>
        <v>118360</v>
      </c>
    </row>
    <row r="5" spans="1:15" x14ac:dyDescent="0.2">
      <c r="A5" s="2">
        <v>2004</v>
      </c>
      <c r="B5" s="2" t="s">
        <v>42</v>
      </c>
      <c r="C5" s="2" t="s">
        <v>47</v>
      </c>
      <c r="D5" s="2" t="s">
        <v>48</v>
      </c>
      <c r="E5" s="2">
        <v>5264</v>
      </c>
      <c r="F5" s="3">
        <v>44972</v>
      </c>
      <c r="G5" s="10">
        <f t="shared" si="0"/>
        <v>0</v>
      </c>
    </row>
    <row r="6" spans="1:15" x14ac:dyDescent="0.2">
      <c r="A6" s="2">
        <v>2005</v>
      </c>
      <c r="B6" s="2" t="s">
        <v>39</v>
      </c>
      <c r="C6" s="2" t="s">
        <v>49</v>
      </c>
      <c r="D6" s="2" t="s">
        <v>50</v>
      </c>
      <c r="E6" s="2">
        <v>43388</v>
      </c>
      <c r="F6" s="3">
        <v>44987</v>
      </c>
      <c r="G6" s="10">
        <f t="shared" si="0"/>
        <v>216940</v>
      </c>
    </row>
    <row r="7" spans="1:15" x14ac:dyDescent="0.2">
      <c r="A7" s="2">
        <v>2006</v>
      </c>
      <c r="B7" s="2" t="s">
        <v>45</v>
      </c>
      <c r="C7" s="2" t="s">
        <v>49</v>
      </c>
      <c r="D7" s="2" t="s">
        <v>51</v>
      </c>
      <c r="E7" s="2">
        <v>19757</v>
      </c>
      <c r="F7" s="3">
        <v>45002</v>
      </c>
      <c r="G7" s="10">
        <f t="shared" si="0"/>
        <v>98785</v>
      </c>
    </row>
    <row r="8" spans="1:15" x14ac:dyDescent="0.2">
      <c r="A8" s="2">
        <v>2007</v>
      </c>
      <c r="B8" s="2" t="s">
        <v>45</v>
      </c>
      <c r="C8" s="2" t="s">
        <v>47</v>
      </c>
      <c r="D8" s="2" t="s">
        <v>52</v>
      </c>
      <c r="E8" s="2">
        <v>32058</v>
      </c>
      <c r="F8" s="3">
        <v>45017</v>
      </c>
      <c r="G8" s="10">
        <f t="shared" si="0"/>
        <v>160290</v>
      </c>
    </row>
    <row r="9" spans="1:15" x14ac:dyDescent="0.2">
      <c r="A9" s="2">
        <v>2008</v>
      </c>
      <c r="B9" s="2" t="s">
        <v>39</v>
      </c>
      <c r="C9" s="2" t="s">
        <v>47</v>
      </c>
      <c r="D9" s="2" t="s">
        <v>53</v>
      </c>
      <c r="E9" s="2">
        <v>46429</v>
      </c>
      <c r="F9" s="3">
        <v>45032</v>
      </c>
      <c r="G9" s="10">
        <f t="shared" si="0"/>
        <v>232145</v>
      </c>
    </row>
    <row r="10" spans="1:15" x14ac:dyDescent="0.2">
      <c r="A10" s="2">
        <v>2009</v>
      </c>
      <c r="B10" s="2" t="s">
        <v>42</v>
      </c>
      <c r="C10" s="2" t="s">
        <v>47</v>
      </c>
      <c r="D10" s="2" t="s">
        <v>54</v>
      </c>
      <c r="E10" s="2">
        <v>19746</v>
      </c>
      <c r="F10" s="3">
        <v>45047</v>
      </c>
      <c r="G10" s="10">
        <f t="shared" si="0"/>
        <v>98730</v>
      </c>
    </row>
    <row r="11" spans="1:15" x14ac:dyDescent="0.2">
      <c r="A11" s="2">
        <v>2010</v>
      </c>
      <c r="B11" s="2" t="s">
        <v>39</v>
      </c>
      <c r="C11" s="2" t="s">
        <v>40</v>
      </c>
      <c r="D11" s="2" t="s">
        <v>55</v>
      </c>
      <c r="E11" s="2">
        <v>35185</v>
      </c>
      <c r="F11" s="3">
        <v>45062</v>
      </c>
      <c r="G11" s="10">
        <f t="shared" si="0"/>
        <v>175925</v>
      </c>
    </row>
    <row r="12" spans="1:15" x14ac:dyDescent="0.2">
      <c r="A12" s="2">
        <v>2011</v>
      </c>
      <c r="B12" s="2" t="s">
        <v>39</v>
      </c>
      <c r="C12" s="2" t="s">
        <v>47</v>
      </c>
      <c r="D12" s="2" t="s">
        <v>56</v>
      </c>
      <c r="E12" s="2">
        <v>33920</v>
      </c>
      <c r="F12" s="3">
        <v>45077</v>
      </c>
      <c r="G12" s="10">
        <f t="shared" si="0"/>
        <v>169600</v>
      </c>
    </row>
    <row r="13" spans="1:15" x14ac:dyDescent="0.2">
      <c r="A13" s="2">
        <v>2012</v>
      </c>
      <c r="B13" s="2" t="s">
        <v>57</v>
      </c>
      <c r="C13" s="2" t="s">
        <v>49</v>
      </c>
      <c r="D13" s="2" t="s">
        <v>58</v>
      </c>
      <c r="E13" s="2">
        <v>35611</v>
      </c>
      <c r="F13" s="3">
        <v>45092</v>
      </c>
      <c r="G13" s="10">
        <f t="shared" si="0"/>
        <v>178055</v>
      </c>
    </row>
    <row r="14" spans="1:15" x14ac:dyDescent="0.2">
      <c r="A14" s="2">
        <v>2013</v>
      </c>
      <c r="B14" s="2" t="s">
        <v>59</v>
      </c>
      <c r="C14" s="2" t="s">
        <v>47</v>
      </c>
      <c r="D14" s="2" t="s">
        <v>60</v>
      </c>
      <c r="E14" s="2">
        <v>15560</v>
      </c>
      <c r="F14" s="3">
        <v>45107</v>
      </c>
      <c r="G14" s="10">
        <f t="shared" si="0"/>
        <v>77800</v>
      </c>
    </row>
    <row r="15" spans="1:15" x14ac:dyDescent="0.2">
      <c r="A15" s="2">
        <v>2014</v>
      </c>
      <c r="B15" s="2" t="s">
        <v>59</v>
      </c>
      <c r="C15" s="2" t="s">
        <v>40</v>
      </c>
      <c r="D15" s="2" t="s">
        <v>61</v>
      </c>
      <c r="E15" s="2">
        <v>7283</v>
      </c>
      <c r="F15" s="3">
        <v>45122</v>
      </c>
      <c r="G15" s="10">
        <f t="shared" si="0"/>
        <v>0</v>
      </c>
    </row>
    <row r="16" spans="1:15" x14ac:dyDescent="0.2">
      <c r="A16" s="2">
        <v>2015</v>
      </c>
      <c r="B16" s="2" t="s">
        <v>59</v>
      </c>
      <c r="C16" s="2" t="s">
        <v>47</v>
      </c>
      <c r="D16" s="2" t="s">
        <v>62</v>
      </c>
      <c r="E16" s="2">
        <v>15678</v>
      </c>
      <c r="F16" s="3">
        <v>45137</v>
      </c>
      <c r="G16" s="10">
        <f t="shared" si="0"/>
        <v>78390</v>
      </c>
    </row>
    <row r="17" spans="1:7" x14ac:dyDescent="0.2">
      <c r="A17" s="2">
        <v>2016</v>
      </c>
      <c r="B17" s="2" t="s">
        <v>45</v>
      </c>
      <c r="C17" s="2" t="s">
        <v>47</v>
      </c>
      <c r="D17" s="2" t="s">
        <v>63</v>
      </c>
      <c r="E17" s="2">
        <v>5277</v>
      </c>
      <c r="F17" s="3">
        <v>45152</v>
      </c>
      <c r="G17" s="10">
        <f t="shared" si="0"/>
        <v>0</v>
      </c>
    </row>
    <row r="18" spans="1:7" x14ac:dyDescent="0.2">
      <c r="A18" s="2">
        <v>2017</v>
      </c>
      <c r="B18" s="2" t="s">
        <v>57</v>
      </c>
      <c r="C18" s="2" t="s">
        <v>49</v>
      </c>
      <c r="D18" s="2" t="s">
        <v>64</v>
      </c>
      <c r="E18" s="2">
        <v>41871</v>
      </c>
      <c r="F18" s="3">
        <v>45167</v>
      </c>
      <c r="G18" s="10">
        <f t="shared" si="0"/>
        <v>209355</v>
      </c>
    </row>
    <row r="19" spans="1:7" x14ac:dyDescent="0.2">
      <c r="A19" s="2">
        <v>2018</v>
      </c>
      <c r="B19" s="2" t="s">
        <v>57</v>
      </c>
      <c r="C19" s="2" t="s">
        <v>43</v>
      </c>
      <c r="D19" s="2" t="s">
        <v>65</v>
      </c>
      <c r="E19" s="2">
        <v>38161</v>
      </c>
      <c r="F19" s="3">
        <v>45182</v>
      </c>
      <c r="G19" s="10">
        <f t="shared" si="0"/>
        <v>190805</v>
      </c>
    </row>
    <row r="20" spans="1:7" x14ac:dyDescent="0.2">
      <c r="A20" s="2">
        <v>2019</v>
      </c>
      <c r="B20" s="2" t="s">
        <v>45</v>
      </c>
      <c r="C20" s="2" t="s">
        <v>43</v>
      </c>
      <c r="D20" s="2" t="s">
        <v>66</v>
      </c>
      <c r="E20" s="2">
        <v>30436</v>
      </c>
      <c r="F20" s="3">
        <v>45197</v>
      </c>
      <c r="G20" s="10">
        <f t="shared" si="0"/>
        <v>152180</v>
      </c>
    </row>
    <row r="21" spans="1:7" x14ac:dyDescent="0.2">
      <c r="A21" s="2">
        <v>2020</v>
      </c>
      <c r="B21" s="2" t="s">
        <v>42</v>
      </c>
      <c r="C21" s="2" t="s">
        <v>43</v>
      </c>
      <c r="D21" s="2" t="s">
        <v>67</v>
      </c>
      <c r="E21" s="2">
        <v>33953</v>
      </c>
      <c r="F21" s="3">
        <v>45212</v>
      </c>
      <c r="G21" s="10">
        <f t="shared" si="0"/>
        <v>169765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E8DE-45DF-D84D-8DED-0522B864115A}">
  <dimension ref="A1:T21"/>
  <sheetViews>
    <sheetView tabSelected="1" topLeftCell="D1" zoomScale="125" workbookViewId="0">
      <selection activeCell="R11" sqref="R11"/>
    </sheetView>
  </sheetViews>
  <sheetFormatPr baseColWidth="10" defaultRowHeight="16" x14ac:dyDescent="0.2"/>
  <cols>
    <col min="1" max="1" width="12.6640625" customWidth="1"/>
    <col min="3" max="3" width="12.33203125" customWidth="1"/>
    <col min="4" max="4" width="11" bestFit="1" customWidth="1"/>
    <col min="5" max="5" width="12.5" customWidth="1"/>
    <col min="9" max="9" width="13.83203125" customWidth="1"/>
    <col min="12" max="12" width="12.5" customWidth="1"/>
    <col min="18" max="18" width="13.5" customWidth="1"/>
    <col min="19" max="19" width="16.5" customWidth="1"/>
    <col min="20" max="20" width="16.33203125" customWidth="1"/>
  </cols>
  <sheetData>
    <row r="1" spans="1:20" x14ac:dyDescent="0.2">
      <c r="A1" s="1" t="s">
        <v>75</v>
      </c>
      <c r="B1" s="1" t="s">
        <v>1</v>
      </c>
      <c r="C1" s="1" t="s">
        <v>76</v>
      </c>
      <c r="D1" s="1" t="s">
        <v>77</v>
      </c>
      <c r="E1" s="1" t="s">
        <v>78</v>
      </c>
      <c r="F1" s="18" t="s">
        <v>73</v>
      </c>
      <c r="G1" s="18" t="s">
        <v>77</v>
      </c>
      <c r="H1" s="19" t="s">
        <v>103</v>
      </c>
      <c r="I1" s="32" t="s">
        <v>104</v>
      </c>
      <c r="J1" s="21" t="s">
        <v>105</v>
      </c>
      <c r="K1" s="23" t="s">
        <v>106</v>
      </c>
      <c r="L1" s="25" t="s">
        <v>107</v>
      </c>
      <c r="N1" s="27" t="s">
        <v>108</v>
      </c>
      <c r="O1" s="4"/>
      <c r="P1" s="29" t="s">
        <v>109</v>
      </c>
      <c r="Q1" s="31" t="s">
        <v>111</v>
      </c>
      <c r="R1" s="31" t="s">
        <v>112</v>
      </c>
      <c r="S1" s="35" t="s">
        <v>113</v>
      </c>
      <c r="T1" s="36" t="s">
        <v>116</v>
      </c>
    </row>
    <row r="2" spans="1:20" x14ac:dyDescent="0.2">
      <c r="A2" s="2">
        <v>3001</v>
      </c>
      <c r="B2" s="2" t="s">
        <v>79</v>
      </c>
      <c r="C2" s="2" t="s">
        <v>80</v>
      </c>
      <c r="D2" s="2">
        <v>86766</v>
      </c>
      <c r="E2" s="3">
        <v>42005</v>
      </c>
      <c r="F2" s="13">
        <v>3001</v>
      </c>
      <c r="G2" s="13">
        <f>_xlfn.XLOOKUP(F2,A2:A21,D2:D21,"NOT AVAILABLE",0,1)</f>
        <v>86766</v>
      </c>
      <c r="H2" s="20">
        <f ca="1">DATEDIF(E2,TODAY(),"Y")</f>
        <v>11</v>
      </c>
      <c r="I2" s="33" t="str" cm="1">
        <f t="array" ref="I2:I21">TEXT(E2:E21,"DD-MMM-YYYY")</f>
        <v>01-Jan-2015</v>
      </c>
      <c r="J2" s="22" t="str">
        <f>LEFT(B2,4)</f>
        <v>Empl</v>
      </c>
      <c r="K2" s="24" t="str">
        <f>RIGHT(B2,5)</f>
        <v>yee 1</v>
      </c>
      <c r="L2" s="26" t="str">
        <f>UPPER(B2)</f>
        <v>EMPLOYEE 1</v>
      </c>
      <c r="N2" s="28" t="str">
        <f>LOWER(B2)</f>
        <v>employee 1</v>
      </c>
      <c r="P2" s="30">
        <f ca="1">SUM(OFFSET(E2,0,0,5,1))</f>
        <v>212525</v>
      </c>
      <c r="Q2" s="12" t="s">
        <v>115</v>
      </c>
      <c r="R2" s="12" cm="1">
        <f t="array" aca="1" ref="R2" ca="1">INDIRECT(Q2)</f>
        <v>3003</v>
      </c>
      <c r="S2" s="36" t="s">
        <v>117</v>
      </c>
      <c r="T2" s="36" t="str" cm="1">
        <f t="array" aca="1" ref="T2" ca="1">INDIRECT(S2,0)</f>
        <v>Employee 1</v>
      </c>
    </row>
    <row r="3" spans="1:20" x14ac:dyDescent="0.2">
      <c r="A3" s="2">
        <v>3002</v>
      </c>
      <c r="B3" s="2" t="s">
        <v>81</v>
      </c>
      <c r="C3" s="2" t="s">
        <v>80</v>
      </c>
      <c r="D3" s="2">
        <v>31943</v>
      </c>
      <c r="E3" s="3">
        <v>42255</v>
      </c>
      <c r="H3" s="20">
        <f t="shared" ref="H3:H21" ca="1" si="0">DATEDIF(E3,TODAY(),"Y")</f>
        <v>10</v>
      </c>
      <c r="I3" s="33" t="str">
        <v>08-Sep-2015</v>
      </c>
      <c r="J3" s="22" t="str">
        <f t="shared" ref="J3:J21" si="1">LEFT(B3,4)</f>
        <v>Empl</v>
      </c>
      <c r="K3" s="24" t="str">
        <f t="shared" ref="K3:K21" si="2">RIGHT(B3,5)</f>
        <v>yee 2</v>
      </c>
      <c r="L3" s="26" t="str">
        <f t="shared" ref="L3:L21" si="3">UPPER(B3)</f>
        <v>EMPLOYEE 2</v>
      </c>
      <c r="N3" s="28" t="str">
        <f t="shared" ref="N3:N21" si="4">LOWER(B3)</f>
        <v>employee 2</v>
      </c>
      <c r="P3" s="30">
        <f t="shared" ref="P3:P21" ca="1" si="5">SUM(OFFSET(E3,0,0,5,1))</f>
        <v>213775</v>
      </c>
    </row>
    <row r="4" spans="1:20" x14ac:dyDescent="0.2">
      <c r="A4" s="2">
        <v>3003</v>
      </c>
      <c r="B4" s="2" t="s">
        <v>82</v>
      </c>
      <c r="C4" s="2" t="s">
        <v>83</v>
      </c>
      <c r="D4" s="2">
        <v>63374</v>
      </c>
      <c r="E4" s="3">
        <v>42505</v>
      </c>
      <c r="H4" s="20">
        <f t="shared" ca="1" si="0"/>
        <v>9</v>
      </c>
      <c r="I4" s="33" t="str">
        <v>15-May-2016</v>
      </c>
      <c r="J4" s="22" t="str">
        <f t="shared" si="1"/>
        <v>Empl</v>
      </c>
      <c r="K4" s="24" t="str">
        <f t="shared" si="2"/>
        <v>yee 3</v>
      </c>
      <c r="L4" s="26" t="str">
        <f t="shared" si="3"/>
        <v>EMPLOYEE 3</v>
      </c>
      <c r="N4" s="28" t="str">
        <f t="shared" si="4"/>
        <v>employee 3</v>
      </c>
      <c r="P4" s="30">
        <f t="shared" ca="1" si="5"/>
        <v>215025</v>
      </c>
    </row>
    <row r="5" spans="1:20" x14ac:dyDescent="0.2">
      <c r="A5" s="2">
        <v>3004</v>
      </c>
      <c r="B5" s="2" t="s">
        <v>84</v>
      </c>
      <c r="C5" s="2" t="s">
        <v>80</v>
      </c>
      <c r="D5" s="2">
        <v>109972</v>
      </c>
      <c r="E5" s="3">
        <v>42755</v>
      </c>
      <c r="H5" s="20">
        <f t="shared" ca="1" si="0"/>
        <v>9</v>
      </c>
      <c r="I5" s="33" t="str">
        <v>20-Jan-2017</v>
      </c>
      <c r="J5" s="22" t="str">
        <f t="shared" si="1"/>
        <v>Empl</v>
      </c>
      <c r="K5" s="24" t="str">
        <f t="shared" si="2"/>
        <v>yee 4</v>
      </c>
      <c r="L5" s="26" t="str">
        <f t="shared" si="3"/>
        <v>EMPLOYEE 4</v>
      </c>
      <c r="N5" s="28" t="str">
        <f t="shared" si="4"/>
        <v>employee 4</v>
      </c>
      <c r="P5" s="30">
        <f t="shared" ca="1" si="5"/>
        <v>216275</v>
      </c>
    </row>
    <row r="6" spans="1:20" x14ac:dyDescent="0.2">
      <c r="A6" s="2">
        <v>3005</v>
      </c>
      <c r="B6" s="2" t="s">
        <v>85</v>
      </c>
      <c r="C6" s="2" t="s">
        <v>86</v>
      </c>
      <c r="D6" s="2">
        <v>54149</v>
      </c>
      <c r="E6" s="3">
        <v>43005</v>
      </c>
      <c r="H6" s="20">
        <f t="shared" ca="1" si="0"/>
        <v>8</v>
      </c>
      <c r="I6" s="33" t="str">
        <v>27-Sep-2017</v>
      </c>
      <c r="J6" s="22" t="str">
        <f t="shared" si="1"/>
        <v>Empl</v>
      </c>
      <c r="K6" s="24" t="str">
        <f t="shared" si="2"/>
        <v>yee 5</v>
      </c>
      <c r="L6" s="26" t="str">
        <f t="shared" si="3"/>
        <v>EMPLOYEE 5</v>
      </c>
      <c r="N6" s="28" t="str">
        <f t="shared" si="4"/>
        <v>employee 5</v>
      </c>
      <c r="P6" s="30">
        <f t="shared" ca="1" si="5"/>
        <v>217525</v>
      </c>
    </row>
    <row r="7" spans="1:20" x14ac:dyDescent="0.2">
      <c r="A7" s="2">
        <v>3006</v>
      </c>
      <c r="B7" s="2" t="s">
        <v>87</v>
      </c>
      <c r="C7" s="2" t="s">
        <v>86</v>
      </c>
      <c r="D7" s="2">
        <v>78689</v>
      </c>
      <c r="E7" s="3">
        <v>43255</v>
      </c>
      <c r="H7" s="20">
        <f t="shared" ca="1" si="0"/>
        <v>7</v>
      </c>
      <c r="I7" s="33" t="str">
        <v>04-Jun-2018</v>
      </c>
      <c r="J7" s="22" t="str">
        <f t="shared" si="1"/>
        <v>Empl</v>
      </c>
      <c r="K7" s="24" t="str">
        <f t="shared" si="2"/>
        <v>yee 6</v>
      </c>
      <c r="L7" s="26" t="str">
        <f>UPPER(B7)</f>
        <v>EMPLOYEE 6</v>
      </c>
      <c r="N7" s="28" t="str">
        <f>LOWER(B7)</f>
        <v>employee 6</v>
      </c>
      <c r="P7" s="30">
        <f t="shared" ca="1" si="5"/>
        <v>218775</v>
      </c>
    </row>
    <row r="8" spans="1:20" x14ac:dyDescent="0.2">
      <c r="A8" s="2">
        <v>3007</v>
      </c>
      <c r="B8" s="2" t="s">
        <v>88</v>
      </c>
      <c r="C8" s="2" t="s">
        <v>89</v>
      </c>
      <c r="D8" s="2">
        <v>35960</v>
      </c>
      <c r="E8" s="3">
        <v>43505</v>
      </c>
      <c r="H8" s="20">
        <f t="shared" ca="1" si="0"/>
        <v>7</v>
      </c>
      <c r="I8" s="33" t="str">
        <v>09-Feb-2019</v>
      </c>
      <c r="J8" s="22" t="str">
        <f t="shared" si="1"/>
        <v>Empl</v>
      </c>
      <c r="K8" s="24" t="str">
        <f t="shared" si="2"/>
        <v>yee 7</v>
      </c>
      <c r="L8" s="26" t="str">
        <f t="shared" si="3"/>
        <v>EMPLOYEE 7</v>
      </c>
      <c r="N8" s="28" t="str">
        <f t="shared" si="4"/>
        <v>employee 7</v>
      </c>
      <c r="P8" s="30">
        <f t="shared" ca="1" si="5"/>
        <v>220025</v>
      </c>
    </row>
    <row r="9" spans="1:20" x14ac:dyDescent="0.2">
      <c r="A9" s="2">
        <v>3008</v>
      </c>
      <c r="B9" s="2" t="s">
        <v>90</v>
      </c>
      <c r="C9" s="2" t="s">
        <v>86</v>
      </c>
      <c r="D9" s="2">
        <v>91659</v>
      </c>
      <c r="E9" s="3">
        <v>43755</v>
      </c>
      <c r="H9" s="20">
        <f t="shared" ca="1" si="0"/>
        <v>6</v>
      </c>
      <c r="I9" s="33" t="str">
        <v>17-Oct-2019</v>
      </c>
      <c r="J9" s="22" t="str">
        <f t="shared" si="1"/>
        <v>Empl</v>
      </c>
      <c r="K9" s="24" t="str">
        <f t="shared" si="2"/>
        <v>yee 8</v>
      </c>
      <c r="L9" s="26" t="str">
        <f t="shared" si="3"/>
        <v>EMPLOYEE 8</v>
      </c>
      <c r="N9" s="28" t="str">
        <f t="shared" si="4"/>
        <v>employee 8</v>
      </c>
      <c r="P9" s="30">
        <f t="shared" ca="1" si="5"/>
        <v>221275</v>
      </c>
    </row>
    <row r="10" spans="1:20" x14ac:dyDescent="0.2">
      <c r="A10" s="2">
        <v>3009</v>
      </c>
      <c r="B10" s="2" t="s">
        <v>91</v>
      </c>
      <c r="C10" s="2" t="s">
        <v>86</v>
      </c>
      <c r="D10" s="2">
        <v>90423</v>
      </c>
      <c r="E10" s="3">
        <v>44005</v>
      </c>
      <c r="H10" s="20">
        <f t="shared" ca="1" si="0"/>
        <v>5</v>
      </c>
      <c r="I10" s="33" t="str">
        <v>23-Jun-2020</v>
      </c>
      <c r="J10" s="22" t="str">
        <f t="shared" si="1"/>
        <v>Empl</v>
      </c>
      <c r="K10" s="24" t="str">
        <f t="shared" si="2"/>
        <v>yee 9</v>
      </c>
      <c r="L10" s="26" t="str">
        <f t="shared" si="3"/>
        <v>EMPLOYEE 9</v>
      </c>
      <c r="N10" s="28" t="str">
        <f t="shared" si="4"/>
        <v>employee 9</v>
      </c>
      <c r="P10" s="30">
        <f t="shared" ca="1" si="5"/>
        <v>222525</v>
      </c>
    </row>
    <row r="11" spans="1:20" x14ac:dyDescent="0.2">
      <c r="A11" s="2">
        <v>3010</v>
      </c>
      <c r="B11" s="2" t="s">
        <v>92</v>
      </c>
      <c r="C11" s="2" t="s">
        <v>83</v>
      </c>
      <c r="D11" s="2">
        <v>107877</v>
      </c>
      <c r="E11" s="3">
        <v>44255</v>
      </c>
      <c r="H11" s="20">
        <f t="shared" ca="1" si="0"/>
        <v>4</v>
      </c>
      <c r="I11" s="33" t="str">
        <v>28-Feb-2021</v>
      </c>
      <c r="J11" s="22" t="str">
        <f t="shared" si="1"/>
        <v>Empl</v>
      </c>
      <c r="K11" s="24" t="str">
        <f t="shared" si="2"/>
        <v>ee 10</v>
      </c>
      <c r="L11" s="26" t="str">
        <f t="shared" si="3"/>
        <v>EMPLOYEE 10</v>
      </c>
      <c r="N11" s="28" t="str">
        <f t="shared" si="4"/>
        <v>employee 10</v>
      </c>
      <c r="P11" s="30">
        <f t="shared" ca="1" si="5"/>
        <v>223775</v>
      </c>
    </row>
    <row r="12" spans="1:20" x14ac:dyDescent="0.2">
      <c r="A12" s="2">
        <v>3011</v>
      </c>
      <c r="B12" s="2" t="s">
        <v>93</v>
      </c>
      <c r="C12" s="2" t="s">
        <v>80</v>
      </c>
      <c r="D12" s="2">
        <v>107634</v>
      </c>
      <c r="E12" s="3">
        <v>44505</v>
      </c>
      <c r="H12" s="20">
        <f t="shared" ca="1" si="0"/>
        <v>4</v>
      </c>
      <c r="I12" s="33" t="str">
        <v>05-Nov-2021</v>
      </c>
      <c r="J12" s="22" t="str">
        <f t="shared" si="1"/>
        <v>Empl</v>
      </c>
      <c r="K12" s="24" t="str">
        <f t="shared" si="2"/>
        <v>ee 11</v>
      </c>
      <c r="L12" s="26" t="str">
        <f t="shared" si="3"/>
        <v>EMPLOYEE 11</v>
      </c>
      <c r="N12" s="28" t="str">
        <f t="shared" si="4"/>
        <v>employee 11</v>
      </c>
      <c r="P12" s="30">
        <f t="shared" ca="1" si="5"/>
        <v>225025</v>
      </c>
    </row>
    <row r="13" spans="1:20" x14ac:dyDescent="0.2">
      <c r="A13" s="2">
        <v>3012</v>
      </c>
      <c r="B13" s="2" t="s">
        <v>94</v>
      </c>
      <c r="C13" s="2" t="s">
        <v>80</v>
      </c>
      <c r="D13" s="2">
        <v>35226</v>
      </c>
      <c r="E13" s="3">
        <v>44755</v>
      </c>
      <c r="H13" s="20">
        <f t="shared" ca="1" si="0"/>
        <v>3</v>
      </c>
      <c r="I13" s="33" t="str">
        <v>13-Jul-2022</v>
      </c>
      <c r="J13" s="22" t="str">
        <f t="shared" si="1"/>
        <v>Empl</v>
      </c>
      <c r="K13" s="24" t="str">
        <f t="shared" si="2"/>
        <v>ee 12</v>
      </c>
      <c r="L13" s="26" t="str">
        <f t="shared" si="3"/>
        <v>EMPLOYEE 12</v>
      </c>
      <c r="N13" s="28" t="str">
        <f t="shared" si="4"/>
        <v>employee 12</v>
      </c>
      <c r="P13" s="30">
        <f t="shared" ca="1" si="5"/>
        <v>226275</v>
      </c>
    </row>
    <row r="14" spans="1:20" x14ac:dyDescent="0.2">
      <c r="A14" s="2">
        <v>3013</v>
      </c>
      <c r="B14" s="2" t="s">
        <v>95</v>
      </c>
      <c r="C14" s="2" t="s">
        <v>83</v>
      </c>
      <c r="D14" s="2">
        <v>40872</v>
      </c>
      <c r="E14" s="3">
        <v>45005</v>
      </c>
      <c r="H14" s="20">
        <f t="shared" ca="1" si="0"/>
        <v>2</v>
      </c>
      <c r="I14" s="33" t="str">
        <v>20-Mar-2023</v>
      </c>
      <c r="J14" s="22" t="str">
        <f t="shared" si="1"/>
        <v>Empl</v>
      </c>
      <c r="K14" s="24" t="str">
        <f t="shared" si="2"/>
        <v>ee 13</v>
      </c>
      <c r="L14" s="26" t="str">
        <f t="shared" si="3"/>
        <v>EMPLOYEE 13</v>
      </c>
      <c r="N14" s="28" t="str">
        <f t="shared" si="4"/>
        <v>employee 13</v>
      </c>
      <c r="P14" s="30">
        <f t="shared" ca="1" si="5"/>
        <v>227525</v>
      </c>
    </row>
    <row r="15" spans="1:20" x14ac:dyDescent="0.2">
      <c r="A15" s="2">
        <v>3014</v>
      </c>
      <c r="B15" s="2" t="s">
        <v>96</v>
      </c>
      <c r="C15" s="2" t="s">
        <v>83</v>
      </c>
      <c r="D15" s="2">
        <v>55378</v>
      </c>
      <c r="E15" s="3">
        <v>45255</v>
      </c>
      <c r="H15" s="20">
        <f t="shared" ca="1" si="0"/>
        <v>2</v>
      </c>
      <c r="I15" s="33" t="str">
        <v>25-Nov-2023</v>
      </c>
      <c r="J15" s="22" t="str">
        <f t="shared" si="1"/>
        <v>Empl</v>
      </c>
      <c r="K15" s="24" t="str">
        <f t="shared" si="2"/>
        <v>ee 14</v>
      </c>
      <c r="L15" s="26" t="str">
        <f t="shared" si="3"/>
        <v>EMPLOYEE 14</v>
      </c>
      <c r="N15" s="28" t="str">
        <f t="shared" si="4"/>
        <v>employee 14</v>
      </c>
      <c r="P15" s="30">
        <f t="shared" ca="1" si="5"/>
        <v>228775</v>
      </c>
    </row>
    <row r="16" spans="1:20" x14ac:dyDescent="0.2">
      <c r="A16" s="2">
        <v>3015</v>
      </c>
      <c r="B16" s="2" t="s">
        <v>97</v>
      </c>
      <c r="C16" s="2" t="s">
        <v>83</v>
      </c>
      <c r="D16" s="2">
        <v>63297</v>
      </c>
      <c r="E16" s="3">
        <v>45505</v>
      </c>
      <c r="H16" s="20">
        <f t="shared" ca="1" si="0"/>
        <v>1</v>
      </c>
      <c r="I16" s="33" t="str">
        <v>01-Aug-2024</v>
      </c>
      <c r="J16" s="22" t="str">
        <f t="shared" si="1"/>
        <v>Empl</v>
      </c>
      <c r="K16" s="24" t="str">
        <f t="shared" si="2"/>
        <v>ee 15</v>
      </c>
      <c r="L16" s="26" t="str">
        <f t="shared" si="3"/>
        <v>EMPLOYEE 15</v>
      </c>
      <c r="N16" s="28" t="str">
        <f t="shared" si="4"/>
        <v>employee 15</v>
      </c>
      <c r="P16" s="30">
        <f t="shared" ca="1" si="5"/>
        <v>230025</v>
      </c>
    </row>
    <row r="17" spans="1:16" x14ac:dyDescent="0.2">
      <c r="A17" s="2">
        <v>3016</v>
      </c>
      <c r="B17" s="2" t="s">
        <v>98</v>
      </c>
      <c r="C17" s="2" t="s">
        <v>80</v>
      </c>
      <c r="D17" s="2">
        <v>114173</v>
      </c>
      <c r="E17" s="3">
        <v>45755</v>
      </c>
      <c r="H17" s="20">
        <f t="shared" ca="1" si="0"/>
        <v>0</v>
      </c>
      <c r="I17" s="33" t="str">
        <v>08-Apr-2025</v>
      </c>
      <c r="J17" s="22" t="str">
        <f t="shared" si="1"/>
        <v>Empl</v>
      </c>
      <c r="K17" s="24" t="str">
        <f t="shared" si="2"/>
        <v>ee 16</v>
      </c>
      <c r="L17" s="26" t="str">
        <f t="shared" si="3"/>
        <v>EMPLOYEE 16</v>
      </c>
      <c r="N17" s="28" t="str">
        <f t="shared" si="4"/>
        <v>employee 16</v>
      </c>
      <c r="P17" s="30">
        <f t="shared" ca="1" si="5"/>
        <v>231275</v>
      </c>
    </row>
    <row r="18" spans="1:16" x14ac:dyDescent="0.2">
      <c r="A18" s="2">
        <v>3017</v>
      </c>
      <c r="B18" s="2" t="s">
        <v>99</v>
      </c>
      <c r="C18" s="2" t="s">
        <v>83</v>
      </c>
      <c r="D18" s="2">
        <v>86915</v>
      </c>
      <c r="E18" s="3">
        <v>46005</v>
      </c>
      <c r="H18" s="20">
        <f t="shared" ca="1" si="0"/>
        <v>0</v>
      </c>
      <c r="I18" s="33" t="str">
        <v>14-Dec-2025</v>
      </c>
      <c r="J18" s="22" t="str">
        <f t="shared" si="1"/>
        <v>Empl</v>
      </c>
      <c r="K18" s="24" t="str">
        <f t="shared" si="2"/>
        <v>ee 17</v>
      </c>
      <c r="L18" s="26" t="str">
        <f t="shared" si="3"/>
        <v>EMPLOYEE 17</v>
      </c>
      <c r="N18" s="28" t="str">
        <f t="shared" si="4"/>
        <v>employee 17</v>
      </c>
      <c r="P18" s="30">
        <f t="shared" ca="1" si="5"/>
        <v>185520</v>
      </c>
    </row>
    <row r="19" spans="1:16" x14ac:dyDescent="0.2">
      <c r="A19" s="2">
        <v>3018</v>
      </c>
      <c r="B19" s="2" t="s">
        <v>100</v>
      </c>
      <c r="C19" s="2" t="s">
        <v>86</v>
      </c>
      <c r="D19" s="2">
        <v>116284</v>
      </c>
      <c r="E19" s="3">
        <v>46255</v>
      </c>
      <c r="H19" s="20" t="e">
        <f ca="1">DATEDIF(E19,TODAY(),"Y")</f>
        <v>#NUM!</v>
      </c>
      <c r="I19" s="33" t="str">
        <v>21-Aug-2026</v>
      </c>
      <c r="J19" s="22" t="str">
        <f t="shared" si="1"/>
        <v>Empl</v>
      </c>
      <c r="K19" s="24" t="str">
        <f t="shared" si="2"/>
        <v>ee 18</v>
      </c>
      <c r="L19" s="26" t="str">
        <f t="shared" si="3"/>
        <v>EMPLOYEE 18</v>
      </c>
      <c r="N19" s="28" t="str">
        <f t="shared" si="4"/>
        <v>employee 18</v>
      </c>
      <c r="P19" s="30">
        <f t="shared" ca="1" si="5"/>
        <v>139515</v>
      </c>
    </row>
    <row r="20" spans="1:16" x14ac:dyDescent="0.2">
      <c r="A20" s="2">
        <v>3019</v>
      </c>
      <c r="B20" s="2" t="s">
        <v>101</v>
      </c>
      <c r="C20" s="2" t="s">
        <v>89</v>
      </c>
      <c r="D20" s="2">
        <v>116283</v>
      </c>
      <c r="E20" s="3">
        <v>46505</v>
      </c>
      <c r="H20" s="20" t="e">
        <f t="shared" ca="1" si="0"/>
        <v>#NUM!</v>
      </c>
      <c r="I20" s="33" t="str">
        <v>28-Apr-2027</v>
      </c>
      <c r="J20" s="22" t="str">
        <f t="shared" si="1"/>
        <v>Empl</v>
      </c>
      <c r="K20" s="24" t="str">
        <f t="shared" si="2"/>
        <v>ee 19</v>
      </c>
      <c r="L20" s="26" t="str">
        <f t="shared" si="3"/>
        <v>EMPLOYEE 19</v>
      </c>
      <c r="N20" s="28" t="str">
        <f t="shared" si="4"/>
        <v>employee 19</v>
      </c>
      <c r="P20" s="30">
        <f t="shared" ca="1" si="5"/>
        <v>93260</v>
      </c>
    </row>
    <row r="21" spans="1:16" x14ac:dyDescent="0.2">
      <c r="A21" s="2">
        <v>3020</v>
      </c>
      <c r="B21" s="2" t="s">
        <v>102</v>
      </c>
      <c r="C21" s="2" t="s">
        <v>89</v>
      </c>
      <c r="D21" s="2">
        <v>99924</v>
      </c>
      <c r="E21" s="3">
        <v>46755</v>
      </c>
      <c r="H21" s="20" t="e">
        <f t="shared" ca="1" si="0"/>
        <v>#NUM!</v>
      </c>
      <c r="I21" s="33" t="str">
        <v>03-Jan-2028</v>
      </c>
      <c r="J21" s="22" t="str">
        <f t="shared" si="1"/>
        <v>Empl</v>
      </c>
      <c r="K21" s="24" t="str">
        <f t="shared" si="2"/>
        <v>ee 20</v>
      </c>
      <c r="L21" s="26" t="str">
        <f t="shared" si="3"/>
        <v>EMPLOYEE 20</v>
      </c>
      <c r="N21" s="28" t="str">
        <f t="shared" si="4"/>
        <v>employee 20</v>
      </c>
      <c r="P21" s="30">
        <f t="shared" ca="1" si="5"/>
        <v>46755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Sales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PATEL</dc:creator>
  <cp:lastModifiedBy>JENISH PATEL</cp:lastModifiedBy>
  <dcterms:created xsi:type="dcterms:W3CDTF">2026-02-11T17:46:36Z</dcterms:created>
  <dcterms:modified xsi:type="dcterms:W3CDTF">2026-02-12T07:31:48Z</dcterms:modified>
</cp:coreProperties>
</file>